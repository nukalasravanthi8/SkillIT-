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mc:AlternateContent xmlns:mc="http://schemas.openxmlformats.org/markup-compatibility/2006">
    <mc:Choice Requires="x15">
      <x15ac:absPath xmlns:x15ac="http://schemas.microsoft.com/office/spreadsheetml/2010/11/ac" url="C:\Users\visha\Desktop\"/>
    </mc:Choice>
  </mc:AlternateContent>
  <xr:revisionPtr revIDLastSave="0" documentId="8_{5323BFAE-EA7E-49D3-A941-E563A711D0A1}" xr6:coauthVersionLast="47" xr6:coauthVersionMax="47" xr10:uidLastSave="{00000000-0000-0000-0000-000000000000}"/>
  <bookViews>
    <workbookView xWindow="-98" yWindow="-98" windowWidth="19396" windowHeight="11475" firstSheet="1" xr2:uid="{4AD350C9-D762-4940-BD7F-74BB8F1D52EE}"/>
  </bookViews>
  <sheets>
    <sheet name="Pivot" sheetId="3" r:id="rId1"/>
    <sheet name="Sales_Data" sheetId="1" r:id="rId2"/>
    <sheet name="Product_Master" sheetId="2" r:id="rId3"/>
  </sheets>
  <calcPr calcId="191028"/>
  <pivotCaches>
    <pivotCache cacheId="16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" l="1"/>
  <c r="P9" i="1"/>
  <c r="P6" i="1"/>
  <c r="P5" i="1"/>
  <c r="P4" i="1"/>
  <c r="J3" i="1"/>
  <c r="L3" i="1" s="1"/>
  <c r="J4" i="1"/>
  <c r="L4" i="1" s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2" i="1"/>
  <c r="L2" i="1" s="1"/>
  <c r="K3" i="1" a="1"/>
  <c r="K3" i="1"/>
  <c r="K4" i="1" a="1"/>
  <c r="K4" i="1"/>
  <c r="K5" i="1" a="1"/>
  <c r="K5" i="1"/>
  <c r="K6" i="1" a="1"/>
  <c r="K6" i="1"/>
  <c r="K7" i="1" a="1"/>
  <c r="K7" i="1"/>
  <c r="K8" i="1" a="1"/>
  <c r="K8" i="1"/>
  <c r="K9" i="1" a="1"/>
  <c r="K9" i="1"/>
  <c r="K10" i="1" a="1"/>
  <c r="K10" i="1"/>
  <c r="K11" i="1" a="1"/>
  <c r="K11" i="1"/>
  <c r="K2" i="1" a="1"/>
  <c r="K2" i="1"/>
  <c r="I3" i="1"/>
  <c r="I4" i="1"/>
  <c r="I5" i="1"/>
  <c r="I6" i="1"/>
  <c r="I7" i="1"/>
  <c r="I8" i="1"/>
  <c r="I9" i="1"/>
  <c r="I10" i="1"/>
  <c r="I11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<sst xmlns="http://schemas.openxmlformats.org/spreadsheetml/2006/main" count="101" uniqueCount="53">
  <si>
    <t>Total Sales by Region</t>
  </si>
  <si>
    <t>Total Sales by Category</t>
  </si>
  <si>
    <t>Salesperson vs Sales</t>
  </si>
  <si>
    <t>Region</t>
  </si>
  <si>
    <t>Total  Sales</t>
  </si>
  <si>
    <t>Category</t>
  </si>
  <si>
    <t>Salesperson</t>
  </si>
  <si>
    <t>Total Sales</t>
  </si>
  <si>
    <t>East</t>
  </si>
  <si>
    <t>Clothing</t>
  </si>
  <si>
    <t>Amit</t>
  </si>
  <si>
    <t>North</t>
  </si>
  <si>
    <t>Electronics</t>
  </si>
  <si>
    <t>Neha</t>
  </si>
  <si>
    <t>South</t>
  </si>
  <si>
    <t>Furniture</t>
  </si>
  <si>
    <t>Priya</t>
  </si>
  <si>
    <t>West</t>
  </si>
  <si>
    <t>Grand Total</t>
  </si>
  <si>
    <t>Ravi</t>
  </si>
  <si>
    <t>Summary</t>
  </si>
  <si>
    <t>Overall sales in North region is highest.</t>
  </si>
  <si>
    <t>Electronics being top in Category.</t>
  </si>
  <si>
    <t>Ravi has done the highest sales.</t>
  </si>
  <si>
    <t>Order_ID</t>
  </si>
  <si>
    <t>Date</t>
  </si>
  <si>
    <t>Product_ID</t>
  </si>
  <si>
    <t>Sales_Amount</t>
  </si>
  <si>
    <t>Quantity</t>
  </si>
  <si>
    <t>Product_Name</t>
  </si>
  <si>
    <t>Performance Category</t>
  </si>
  <si>
    <t>Categorize Region</t>
  </si>
  <si>
    <t>Bonus</t>
  </si>
  <si>
    <t>P101</t>
  </si>
  <si>
    <t>P102</t>
  </si>
  <si>
    <t xml:space="preserve">Section 3 </t>
  </si>
  <si>
    <t>Totals</t>
  </si>
  <si>
    <t>P103</t>
  </si>
  <si>
    <t>Total Sales for Electronics</t>
  </si>
  <si>
    <t>Total sales for north &amp; Clothing</t>
  </si>
  <si>
    <t>P104</t>
  </si>
  <si>
    <t>Total quanity  sold by Amit</t>
  </si>
  <si>
    <t>P105</t>
  </si>
  <si>
    <t>Section 4</t>
  </si>
  <si>
    <t>Count</t>
  </si>
  <si>
    <t>Count no. of orders in Furniture</t>
  </si>
  <si>
    <t>Count no.of order South &amp; Sales</t>
  </si>
  <si>
    <t>Price</t>
  </si>
  <si>
    <t>Laptop</t>
  </si>
  <si>
    <t>Chair</t>
  </si>
  <si>
    <t>T-Shirt</t>
  </si>
  <si>
    <t>Jeans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</si>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</sst>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</font>
    <font>
      <b/>
      <sz val="16"/>
      <color theme="1"/>
      <name val="Aptos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 applyNumberFormat="1"/>
    <xf numFmtId="0" fontId="0" fillId="0" borderId="0" xfId="0" pivotButton="1"/>
    <xf numFmtId="0" fontId="3" fillId="0" borderId="0" xfId="0" applyFont="1"/>
  </cellXfs>
  <cellStyles count="1">
    <cellStyle name="Normal" xfId="0" builtinId="0"/>
  </cellStyles>
  <dxfs count="13">
    <dxf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9" formatCode="m/d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color theme="9" tint="-0.249977111117893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0.996214930557" createdVersion="8" refreshedVersion="8" minRefreshableVersion="3" recordCount="10" xr:uid="{6B486CCE-5BD2-4E33-B5A0-5FD2F824B898}">
  <cacheSource type="worksheet">
    <worksheetSource ref="A1:L11" sheet="Sales_Data"/>
  </cacheSource>
  <cacheFields count="12">
    <cacheField name="Order_ID" numFmtId="0">
      <sharedItems containsSemiMixedTypes="0" containsString="0" containsNumber="1" containsInteger="1" minValue="1001" maxValue="1010"/>
    </cacheField>
    <cacheField name="Date" numFmtId="14">
      <sharedItems containsSemiMixedTypes="0" containsNonDate="0" containsDate="1" containsString="0" minDate="2024-01-01T00:00:00" maxDate="2024-01-09T00:00:00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 count="4">
        <s v="Amit"/>
        <s v="Ravi"/>
        <s v="Neha"/>
        <s v="Priya"/>
      </sharedItems>
    </cacheField>
    <cacheField name="Product_ID" numFmtId="0">
      <sharedItems/>
    </cacheField>
    <cacheField name="Category" numFmtId="0">
      <sharedItems count="3">
        <s v="Electronics"/>
        <s v="Furniture"/>
        <s v="Clothing"/>
      </sharedItems>
    </cacheField>
    <cacheField name="Sales_Amount" numFmtId="0">
      <sharedItems containsSemiMixedTypes="0" containsString="0" containsNumber="1" containsInteger="1" minValue="2000" maxValue="18000"/>
    </cacheField>
    <cacheField name="Quantity" numFmtId="0">
      <sharedItems containsSemiMixedTypes="0" containsString="0" containsNumber="1" containsInteger="1" minValue="1" maxValue="5"/>
    </cacheField>
    <cacheField name="Product_Name" numFmtId="0">
      <sharedItems/>
    </cacheField>
    <cacheField name="Performance Category" numFmtId="0">
      <sharedItems/>
    </cacheField>
    <cacheField name="Categorize Region" numFmtId="0">
      <sharedItems/>
    </cacheField>
    <cacheField name="Bonus" numFmtId="0">
      <sharedItems containsSemiMixedTypes="0" containsString="0" containsNumber="1" containsInteger="1" minValue="40" maxValue="1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d v="2024-01-01T00:00:00"/>
    <x v="0"/>
    <x v="0"/>
    <s v="P101"/>
    <x v="0"/>
    <n v="15000"/>
    <n v="2"/>
    <s v="Laptop"/>
    <s v="Medium"/>
    <s v="Zone 1"/>
    <n v="750"/>
  </r>
  <r>
    <n v="1002"/>
    <d v="2024-01-02T00:00:00"/>
    <x v="1"/>
    <x v="1"/>
    <s v="P102"/>
    <x v="1"/>
    <n v="8000"/>
    <n v="1"/>
    <s v="Chair"/>
    <s v="Medium"/>
    <s v="Zone 2"/>
    <n v="400"/>
  </r>
  <r>
    <n v="1003"/>
    <d v="2024-01-02T00:00:00"/>
    <x v="2"/>
    <x v="2"/>
    <s v="P103"/>
    <x v="2"/>
    <n v="2000"/>
    <n v="5"/>
    <s v="T-Shirt"/>
    <s v="Low"/>
    <s v="Zone 3"/>
    <n v="40"/>
  </r>
  <r>
    <n v="1004"/>
    <d v="2024-01-03T00:00:00"/>
    <x v="3"/>
    <x v="3"/>
    <s v="P101"/>
    <x v="0"/>
    <n v="12000"/>
    <n v="1"/>
    <s v="Laptop"/>
    <s v="Medium"/>
    <s v="Zone 4"/>
    <n v="600"/>
  </r>
  <r>
    <n v="1005"/>
    <d v="2024-01-03T00:00:00"/>
    <x v="0"/>
    <x v="0"/>
    <s v="P104"/>
    <x v="2"/>
    <n v="3000"/>
    <n v="3"/>
    <s v="Jeans"/>
    <s v="Low"/>
    <s v="Zone 1"/>
    <n v="60"/>
  </r>
  <r>
    <n v="1006"/>
    <d v="2024-01-04T00:00:00"/>
    <x v="1"/>
    <x v="1"/>
    <s v="P105"/>
    <x v="1"/>
    <n v="10000"/>
    <n v="2"/>
    <s v="Table"/>
    <s v="Medium"/>
    <s v="Zone 2"/>
    <n v="500"/>
  </r>
  <r>
    <n v="1007"/>
    <d v="2024-01-05T00:00:00"/>
    <x v="2"/>
    <x v="2"/>
    <s v="P101"/>
    <x v="0"/>
    <n v="18000"/>
    <n v="2"/>
    <s v="Laptop"/>
    <s v="High"/>
    <s v="Zone 3"/>
    <n v="1800"/>
  </r>
  <r>
    <n v="1008"/>
    <d v="2024-01-06T00:00:00"/>
    <x v="3"/>
    <x v="3"/>
    <s v="P102"/>
    <x v="1"/>
    <n v="7000"/>
    <n v="1"/>
    <s v="Chair"/>
    <s v="Medium"/>
    <s v="Zone 4"/>
    <n v="350"/>
  </r>
  <r>
    <n v="1009"/>
    <d v="2024-01-07T00:00:00"/>
    <x v="0"/>
    <x v="0"/>
    <s v="P103"/>
    <x v="2"/>
    <n v="2500"/>
    <n v="4"/>
    <s v="T-Shirt"/>
    <s v="Low"/>
    <s v="Zone 1"/>
    <n v="50"/>
  </r>
  <r>
    <n v="1010"/>
    <d v="2024-01-08T00:00:00"/>
    <x v="1"/>
    <x v="1"/>
    <s v="P104"/>
    <x v="2"/>
    <n v="3500"/>
    <n v="2"/>
    <s v="Jeans"/>
    <s v="Low"/>
    <s v="Zone 2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5F148-8E1F-4049-85A0-0FBE59167F8C}" name="PivotTable1" cacheId="1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12">
    <pivotField compact="0" outline="0" showAll="0"/>
    <pivotField compact="0" numFmtId="14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F72E9D-127D-4D0E-935A-16AA9F37E939}" name="PivotTable3" cacheId="1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3:J8" firstHeaderRow="1" firstDataRow="1" firstDataCol="1"/>
  <pivotFields count="12">
    <pivotField compact="0" outline="0" showAll="0"/>
    <pivotField compact="0" numFmtId="14" outline="0" showAll="0"/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A5A78-2DAE-4C35-BA30-6E0AB57F519C}" name="PivotTable2" cacheId="1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F7" firstHeaderRow="1" firstDataRow="1" firstDataCol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635EEE-3359-49B3-B36E-B0916CBD15A1}" name="Table2" displayName="Table2" ref="A1:L11" totalsRowShown="0" headerRowDxfId="9">
  <autoFilter ref="A1:L11" xr:uid="{AF635EEE-3359-49B3-B36E-B0916CBD15A1}"/>
  <tableColumns count="12">
    <tableColumn id="1" xr3:uid="{2CF0D1CD-5414-44EA-90A5-1C3D1B9631D1}" name="Order_ID" dataDxfId="8"/>
    <tableColumn id="2" xr3:uid="{9854FB30-0E3A-4036-8DF2-2CC9BC4A2967}" name="Date" dataDxfId="7"/>
    <tableColumn id="3" xr3:uid="{CCEDA43A-3C6C-408E-8427-BC7EE2F92203}" name="Region" dataDxfId="6"/>
    <tableColumn id="4" xr3:uid="{45FFD2C9-866B-4DE1-BC65-22F64D04B542}" name="Salesperson" dataDxfId="5"/>
    <tableColumn id="5" xr3:uid="{AD2FCF6A-8CBC-4D0F-817B-B5152467B15B}" name="Product_ID" dataDxfId="4"/>
    <tableColumn id="6" xr3:uid="{5EC0A19A-636C-40A4-9CB4-283FD5BDA605}" name="Category" dataDxfId="3"/>
    <tableColumn id="7" xr3:uid="{C7BF6A9B-A505-4A1C-AD28-45EE79BA6548}" name="Sales_Amount" dataDxfId="2"/>
    <tableColumn id="8" xr3:uid="{AF4AB8B3-C0A9-47C1-81A6-0CE78C6395AB}" name="Quantity" dataDxfId="1"/>
    <tableColumn id="9" xr3:uid="{F0B5BAA4-651C-4AB0-8F21-55908CFC6673}" name="Product_Name" dataDxfId="0">
      <calculatedColumnFormula>VLOOKUP(E2,Product_Master!A:C,2,FALSE)</calculatedColumnFormula>
    </tableColumn>
    <tableColumn id="10" xr3:uid="{C0391CEF-2943-4D1D-A024-C4904DF3162E}" name="Performance Category">
      <calculatedColumnFormula>IF(G2&gt;15000,"High",IF(G2&gt;=5000,"Medium","Low"))</calculatedColumnFormula>
    </tableColumn>
    <tableColumn id="11" xr3:uid="{C86BE536-DABE-45DB-9376-BC6544A14D7B}" name="Categorize Region">
      <calculatedColumnFormula array="1">_xlfn.IFS(C2="North","Zone 1",C2="South","Zone 2",C2="East","Zone 3",C2="West","Zone 4")</calculatedColumnFormula>
    </tableColumn>
    <tableColumn id="12" xr3:uid="{7A771C02-BF39-4ECE-8356-C3D3AE2DD22A}" name="Bonus">
      <calculatedColumnFormula>IF(J2="High",G2*10%,IF(J2="Medium",G2*5%,IF(J2="Low",G2*2%,0)))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48EF54-8280-43B4-84BE-3062A2D68127}" name="Table3" displayName="Table3" ref="O3:P6" totalsRowShown="0">
  <autoFilter ref="O3:P6" xr:uid="{E648EF54-8280-43B4-84BE-3062A2D68127}"/>
  <tableColumns count="2">
    <tableColumn id="1" xr3:uid="{FAC8F489-56C9-40B8-9A1E-94BFAD4BDA2E}" name="Section 3 "/>
    <tableColumn id="2" xr3:uid="{43994C0C-4D56-4EB2-A814-5D12BDDC0849}" name="Total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8025AB-0346-42FD-B42C-F0D0C22C271C}" name="Table4" displayName="Table4" ref="O8:P10" totalsRowShown="0">
  <autoFilter ref="O8:P10" xr:uid="{AC8025AB-0346-42FD-B42C-F0D0C22C271C}"/>
  <tableColumns count="2">
    <tableColumn id="1" xr3:uid="{B8EC1A2D-9E5A-4354-A32F-C14E8793239D}" name="Section 4"/>
    <tableColumn id="2" xr3:uid="{078FDF6D-FE59-4FED-B50E-55802A73DD33}" name="Count">
      <calculatedColumnFormula>COUNTIFS(C:C,"South",G:G,"&gt;5000")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8C50C-7617-4117-A3AB-D98466CD179E}">
  <dimension ref="A2:J15"/>
  <sheetViews>
    <sheetView tabSelected="1" workbookViewId="0">
      <selection activeCell="D17" sqref="D17"/>
    </sheetView>
  </sheetViews>
  <sheetFormatPr defaultRowHeight="15"/>
  <cols>
    <col min="1" max="1" width="22" bestFit="1" customWidth="1"/>
    <col min="2" max="2" width="33.85546875" bestFit="1" customWidth="1"/>
    <col min="5" max="5" width="33" bestFit="1" customWidth="1"/>
    <col min="6" max="6" width="20.140625" bestFit="1" customWidth="1"/>
    <col min="9" max="9" width="22" bestFit="1" customWidth="1"/>
    <col min="10" max="10" width="20.140625" bestFit="1" customWidth="1"/>
  </cols>
  <sheetData>
    <row r="2" spans="1:10" ht="21">
      <c r="A2" s="9" t="s">
        <v>0</v>
      </c>
      <c r="E2" s="9" t="s">
        <v>1</v>
      </c>
      <c r="I2" s="9" t="s">
        <v>2</v>
      </c>
    </row>
    <row r="3" spans="1:10">
      <c r="A3" s="8" t="s">
        <v>3</v>
      </c>
      <c r="B3" t="s">
        <v>4</v>
      </c>
      <c r="E3" s="8" t="s">
        <v>5</v>
      </c>
      <c r="F3" t="s">
        <v>4</v>
      </c>
      <c r="I3" s="8" t="s">
        <v>6</v>
      </c>
      <c r="J3" t="s">
        <v>7</v>
      </c>
    </row>
    <row r="4" spans="1:10">
      <c r="A4" t="s">
        <v>8</v>
      </c>
      <c r="B4" s="7">
        <v>20000</v>
      </c>
      <c r="E4" t="s">
        <v>9</v>
      </c>
      <c r="F4" s="7">
        <v>11000</v>
      </c>
      <c r="I4" t="s">
        <v>10</v>
      </c>
      <c r="J4" s="7">
        <v>20500</v>
      </c>
    </row>
    <row r="5" spans="1:10">
      <c r="A5" t="s">
        <v>11</v>
      </c>
      <c r="B5" s="7">
        <v>20500</v>
      </c>
      <c r="E5" t="s">
        <v>12</v>
      </c>
      <c r="F5" s="7">
        <v>45000</v>
      </c>
      <c r="I5" t="s">
        <v>13</v>
      </c>
      <c r="J5" s="7">
        <v>20000</v>
      </c>
    </row>
    <row r="6" spans="1:10">
      <c r="A6" t="s">
        <v>14</v>
      </c>
      <c r="B6" s="7">
        <v>21500</v>
      </c>
      <c r="E6" t="s">
        <v>15</v>
      </c>
      <c r="F6" s="7">
        <v>25000</v>
      </c>
      <c r="I6" t="s">
        <v>16</v>
      </c>
      <c r="J6" s="7">
        <v>19000</v>
      </c>
    </row>
    <row r="7" spans="1:10">
      <c r="A7" t="s">
        <v>17</v>
      </c>
      <c r="B7" s="7">
        <v>19000</v>
      </c>
      <c r="E7" t="s">
        <v>18</v>
      </c>
      <c r="F7" s="7">
        <v>81000</v>
      </c>
      <c r="I7" t="s">
        <v>19</v>
      </c>
      <c r="J7" s="7">
        <v>21500</v>
      </c>
    </row>
    <row r="8" spans="1:10">
      <c r="A8" t="s">
        <v>18</v>
      </c>
      <c r="B8" s="7">
        <v>81000</v>
      </c>
      <c r="I8" t="s">
        <v>18</v>
      </c>
      <c r="J8" s="7">
        <v>81000</v>
      </c>
    </row>
    <row r="13" spans="1:10" ht="21">
      <c r="A13" s="9" t="s">
        <v>20</v>
      </c>
      <c r="B13" t="s">
        <v>21</v>
      </c>
    </row>
    <row r="14" spans="1:10">
      <c r="B14" t="s">
        <v>22</v>
      </c>
    </row>
    <row r="15" spans="1:10">
      <c r="B1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D8A8-597D-4013-82BD-25B1D4DEEE81}">
  <dimension ref="A1:P11"/>
  <sheetViews>
    <sheetView workbookViewId="0">
      <selection activeCell="D21" sqref="D21"/>
    </sheetView>
  </sheetViews>
  <sheetFormatPr defaultRowHeight="15"/>
  <cols>
    <col min="1" max="1" width="11" style="2" bestFit="1" customWidth="1"/>
    <col min="2" max="2" width="10" style="2" bestFit="1" customWidth="1"/>
    <col min="3" max="3" width="9.140625" style="2" bestFit="1" customWidth="1"/>
    <col min="4" max="4" width="14.140625" style="2" bestFit="1" customWidth="1"/>
    <col min="5" max="5" width="13" style="2" bestFit="1" customWidth="1"/>
    <col min="6" max="6" width="11.140625" style="2" bestFit="1" customWidth="1"/>
    <col min="7" max="7" width="15.85546875" style="2" bestFit="1" customWidth="1"/>
    <col min="8" max="8" width="10.7109375" style="2" bestFit="1" customWidth="1"/>
    <col min="9" max="9" width="16.28515625" style="2" bestFit="1" customWidth="1"/>
    <col min="10" max="10" width="23" bestFit="1" customWidth="1"/>
    <col min="11" max="11" width="19.140625" bestFit="1" customWidth="1"/>
    <col min="12" max="12" width="11.42578125" bestFit="1" customWidth="1"/>
    <col min="15" max="15" width="28" bestFit="1" customWidth="1"/>
    <col min="16" max="16" width="34.7109375" bestFit="1" customWidth="1"/>
  </cols>
  <sheetData>
    <row r="1" spans="1:16">
      <c r="A1" s="4" t="s">
        <v>24</v>
      </c>
      <c r="B1" s="4" t="s">
        <v>25</v>
      </c>
      <c r="C1" s="4" t="s">
        <v>3</v>
      </c>
      <c r="D1" s="4" t="s">
        <v>6</v>
      </c>
      <c r="E1" s="4" t="s">
        <v>26</v>
      </c>
      <c r="F1" s="4" t="s">
        <v>5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</row>
    <row r="2" spans="1:16">
      <c r="A2" s="2">
        <v>1001</v>
      </c>
      <c r="B2" s="3">
        <v>45292</v>
      </c>
      <c r="C2" s="2" t="s">
        <v>11</v>
      </c>
      <c r="D2" s="2" t="s">
        <v>10</v>
      </c>
      <c r="E2" s="2" t="s">
        <v>33</v>
      </c>
      <c r="F2" s="2" t="s">
        <v>12</v>
      </c>
      <c r="G2" s="2">
        <v>15000</v>
      </c>
      <c r="H2" s="2">
        <v>2</v>
      </c>
      <c r="I2" s="5" t="str">
        <f>VLOOKUP(E2,Product_Master!A:C,2,FALSE)</f>
        <v>Laptop</v>
      </c>
      <c r="J2" t="str">
        <f>IF(G2&gt;15000,"High",IF(G2&gt;=5000,"Medium","Low"))</f>
        <v>Medium</v>
      </c>
      <c r="K2" t="str" cm="1">
        <f t="array" ref="K2">_xlfn.IFS(C2="North","Zone 1",C2="South","Zone 2",C2="East","Zone 3",C2="West","Zone 4")</f>
        <v>Zone 1</v>
      </c>
      <c r="L2">
        <f>IF(J2="High",G2*10%,IF(J2="Medium",G2*5%,IF(J2="Low",G2*2%,0)))</f>
        <v>750</v>
      </c>
    </row>
    <row r="3" spans="1:16" ht="15.75">
      <c r="A3" s="2">
        <v>1002</v>
      </c>
      <c r="B3" s="3">
        <v>45293</v>
      </c>
      <c r="C3" s="2" t="s">
        <v>14</v>
      </c>
      <c r="D3" s="2" t="s">
        <v>19</v>
      </c>
      <c r="E3" s="2" t="s">
        <v>34</v>
      </c>
      <c r="F3" s="2" t="s">
        <v>15</v>
      </c>
      <c r="G3" s="2">
        <v>8000</v>
      </c>
      <c r="H3" s="2">
        <v>1</v>
      </c>
      <c r="I3" s="5" t="str">
        <f>VLOOKUP(E3,Product_Master!A:C,2,FALSE)</f>
        <v>Chair</v>
      </c>
      <c r="J3" t="str">
        <f t="shared" ref="J3:J11" si="0">IF(G3&gt;15000,"High",IF(G3&gt;=5000,"Medium","Low"))</f>
        <v>Medium</v>
      </c>
      <c r="K3" t="str" cm="1">
        <f t="array" ref="K3">_xlfn.IFS(C3="North","Zone 1",C3="South","Zone 2",C3="East","Zone 3",C3="West","Zone 4")</f>
        <v>Zone 2</v>
      </c>
      <c r="L3">
        <f t="shared" ref="L3:L11" si="1">IF(J3="High",G3*10%,IF(J3="Medium",G3*5%,IF(J3="Low",G3*2%,0)))</f>
        <v>400</v>
      </c>
      <c r="O3" s="6" t="s">
        <v>35</v>
      </c>
      <c r="P3" t="s">
        <v>36</v>
      </c>
    </row>
    <row r="4" spans="1:16">
      <c r="A4" s="2">
        <v>1003</v>
      </c>
      <c r="B4" s="3">
        <v>45293</v>
      </c>
      <c r="C4" s="2" t="s">
        <v>8</v>
      </c>
      <c r="D4" s="2" t="s">
        <v>13</v>
      </c>
      <c r="E4" s="2" t="s">
        <v>37</v>
      </c>
      <c r="F4" s="2" t="s">
        <v>9</v>
      </c>
      <c r="G4" s="2">
        <v>2000</v>
      </c>
      <c r="H4" s="2">
        <v>5</v>
      </c>
      <c r="I4" s="5" t="str">
        <f>VLOOKUP(E4,Product_Master!A:C,2,FALSE)</f>
        <v>T-Shirt</v>
      </c>
      <c r="J4" t="str">
        <f t="shared" si="0"/>
        <v>Low</v>
      </c>
      <c r="K4" t="str" cm="1">
        <f t="array" ref="K4">_xlfn.IFS(C4="North","Zone 1",C4="South","Zone 2",C4="East","Zone 3",C4="West","Zone 4")</f>
        <v>Zone 3</v>
      </c>
      <c r="L4">
        <f t="shared" si="1"/>
        <v>40</v>
      </c>
      <c r="O4" t="s">
        <v>38</v>
      </c>
      <c r="P4">
        <f>SUMIF(F:F,"Electronics",G:G)</f>
        <v>45000</v>
      </c>
    </row>
    <row r="5" spans="1:16">
      <c r="A5" s="2">
        <v>1004</v>
      </c>
      <c r="B5" s="3">
        <v>45294</v>
      </c>
      <c r="C5" s="2" t="s">
        <v>17</v>
      </c>
      <c r="D5" s="2" t="s">
        <v>16</v>
      </c>
      <c r="E5" s="2" t="s">
        <v>33</v>
      </c>
      <c r="F5" s="2" t="s">
        <v>12</v>
      </c>
      <c r="G5" s="2">
        <v>12000</v>
      </c>
      <c r="H5" s="2">
        <v>1</v>
      </c>
      <c r="I5" s="5" t="str">
        <f>VLOOKUP(E5,Product_Master!A:C,2,FALSE)</f>
        <v>Laptop</v>
      </c>
      <c r="J5" t="str">
        <f t="shared" si="0"/>
        <v>Medium</v>
      </c>
      <c r="K5" t="str" cm="1">
        <f t="array" ref="K5">_xlfn.IFS(C5="North","Zone 1",C5="South","Zone 2",C5="East","Zone 3",C5="West","Zone 4")</f>
        <v>Zone 4</v>
      </c>
      <c r="L5">
        <f t="shared" si="1"/>
        <v>600</v>
      </c>
      <c r="O5" t="s">
        <v>39</v>
      </c>
      <c r="P5">
        <f>SUMIFS(G:G,C:C,"North",F:F,"Clothing")</f>
        <v>5500</v>
      </c>
    </row>
    <row r="6" spans="1:16">
      <c r="A6" s="2">
        <v>1005</v>
      </c>
      <c r="B6" s="3">
        <v>45294</v>
      </c>
      <c r="C6" s="2" t="s">
        <v>11</v>
      </c>
      <c r="D6" s="2" t="s">
        <v>10</v>
      </c>
      <c r="E6" s="2" t="s">
        <v>40</v>
      </c>
      <c r="F6" s="2" t="s">
        <v>9</v>
      </c>
      <c r="G6" s="2">
        <v>3000</v>
      </c>
      <c r="H6" s="2">
        <v>3</v>
      </c>
      <c r="I6" s="5" t="str">
        <f>VLOOKUP(E6,Product_Master!A:C,2,FALSE)</f>
        <v>Jeans</v>
      </c>
      <c r="J6" t="str">
        <f t="shared" si="0"/>
        <v>Low</v>
      </c>
      <c r="K6" t="str" cm="1">
        <f t="array" ref="K6">_xlfn.IFS(C6="North","Zone 1",C6="South","Zone 2",C6="East","Zone 3",C6="West","Zone 4")</f>
        <v>Zone 1</v>
      </c>
      <c r="L6">
        <f t="shared" si="1"/>
        <v>60</v>
      </c>
      <c r="O6" t="s">
        <v>41</v>
      </c>
      <c r="P6">
        <f>SUMIF(D:D,"Amit",H:H)</f>
        <v>9</v>
      </c>
    </row>
    <row r="7" spans="1:16">
      <c r="A7" s="2">
        <v>1006</v>
      </c>
      <c r="B7" s="3">
        <v>45295</v>
      </c>
      <c r="C7" s="2" t="s">
        <v>14</v>
      </c>
      <c r="D7" s="2" t="s">
        <v>19</v>
      </c>
      <c r="E7" s="2" t="s">
        <v>42</v>
      </c>
      <c r="F7" s="2" t="s">
        <v>15</v>
      </c>
      <c r="G7" s="2">
        <v>10000</v>
      </c>
      <c r="H7" s="2">
        <v>2</v>
      </c>
      <c r="I7" s="5" t="str">
        <f>VLOOKUP(E7,Product_Master!A:C,2,FALSE)</f>
        <v>Table</v>
      </c>
      <c r="J7" t="str">
        <f t="shared" si="0"/>
        <v>Medium</v>
      </c>
      <c r="K7" t="str" cm="1">
        <f t="array" ref="K7">_xlfn.IFS(C7="North","Zone 1",C7="South","Zone 2",C7="East","Zone 3",C7="West","Zone 4")</f>
        <v>Zone 2</v>
      </c>
      <c r="L7">
        <f t="shared" si="1"/>
        <v>500</v>
      </c>
    </row>
    <row r="8" spans="1:16" ht="15.75">
      <c r="A8" s="2">
        <v>1007</v>
      </c>
      <c r="B8" s="3">
        <v>45296</v>
      </c>
      <c r="C8" s="2" t="s">
        <v>8</v>
      </c>
      <c r="D8" s="2" t="s">
        <v>13</v>
      </c>
      <c r="E8" s="2" t="s">
        <v>33</v>
      </c>
      <c r="F8" s="2" t="s">
        <v>12</v>
      </c>
      <c r="G8" s="2">
        <v>18000</v>
      </c>
      <c r="H8" s="2">
        <v>2</v>
      </c>
      <c r="I8" s="5" t="str">
        <f>VLOOKUP(E8,Product_Master!A:C,2,FALSE)</f>
        <v>Laptop</v>
      </c>
      <c r="J8" t="str">
        <f t="shared" si="0"/>
        <v>High</v>
      </c>
      <c r="K8" t="str" cm="1">
        <f t="array" ref="K8">_xlfn.IFS(C8="North","Zone 1",C8="South","Zone 2",C8="East","Zone 3",C8="West","Zone 4")</f>
        <v>Zone 3</v>
      </c>
      <c r="L8">
        <f t="shared" si="1"/>
        <v>1800</v>
      </c>
      <c r="O8" s="6" t="s">
        <v>43</v>
      </c>
      <c r="P8" t="s">
        <v>44</v>
      </c>
    </row>
    <row r="9" spans="1:16">
      <c r="A9" s="2">
        <v>1008</v>
      </c>
      <c r="B9" s="3">
        <v>45297</v>
      </c>
      <c r="C9" s="2" t="s">
        <v>17</v>
      </c>
      <c r="D9" s="2" t="s">
        <v>16</v>
      </c>
      <c r="E9" s="2" t="s">
        <v>34</v>
      </c>
      <c r="F9" s="2" t="s">
        <v>15</v>
      </c>
      <c r="G9" s="2">
        <v>7000</v>
      </c>
      <c r="H9" s="2">
        <v>1</v>
      </c>
      <c r="I9" s="5" t="str">
        <f>VLOOKUP(E9,Product_Master!A:C,2,FALSE)</f>
        <v>Chair</v>
      </c>
      <c r="J9" t="str">
        <f t="shared" si="0"/>
        <v>Medium</v>
      </c>
      <c r="K9" t="str" cm="1">
        <f t="array" ref="K9">_xlfn.IFS(C9="North","Zone 1",C9="South","Zone 2",C9="East","Zone 3",C9="West","Zone 4")</f>
        <v>Zone 4</v>
      </c>
      <c r="L9">
        <f t="shared" si="1"/>
        <v>350</v>
      </c>
      <c r="O9" t="s">
        <v>45</v>
      </c>
      <c r="P9">
        <f>COUNTIF(F1:F11,"Furniture")</f>
        <v>3</v>
      </c>
    </row>
    <row r="10" spans="1:16">
      <c r="A10" s="2">
        <v>1009</v>
      </c>
      <c r="B10" s="3">
        <v>45298</v>
      </c>
      <c r="C10" s="2" t="s">
        <v>11</v>
      </c>
      <c r="D10" s="2" t="s">
        <v>10</v>
      </c>
      <c r="E10" s="2" t="s">
        <v>37</v>
      </c>
      <c r="F10" s="2" t="s">
        <v>9</v>
      </c>
      <c r="G10" s="2">
        <v>2500</v>
      </c>
      <c r="H10" s="2">
        <v>4</v>
      </c>
      <c r="I10" s="5" t="str">
        <f>VLOOKUP(E10,Product_Master!A:C,2,FALSE)</f>
        <v>T-Shirt</v>
      </c>
      <c r="J10" t="str">
        <f t="shared" si="0"/>
        <v>Low</v>
      </c>
      <c r="K10" t="str" cm="1">
        <f t="array" ref="K10">_xlfn.IFS(C10="North","Zone 1",C10="South","Zone 2",C10="East","Zone 3",C10="West","Zone 4")</f>
        <v>Zone 1</v>
      </c>
      <c r="L10">
        <f t="shared" si="1"/>
        <v>50</v>
      </c>
      <c r="O10" t="s">
        <v>46</v>
      </c>
      <c r="P10">
        <f>COUNTIFS(C:C,"South",G:G,"&gt;5000")</f>
        <v>2</v>
      </c>
    </row>
    <row r="11" spans="1:16">
      <c r="A11" s="2">
        <v>1010</v>
      </c>
      <c r="B11" s="3">
        <v>45299</v>
      </c>
      <c r="C11" s="2" t="s">
        <v>14</v>
      </c>
      <c r="D11" s="2" t="s">
        <v>19</v>
      </c>
      <c r="E11" s="2" t="s">
        <v>40</v>
      </c>
      <c r="F11" s="2" t="s">
        <v>9</v>
      </c>
      <c r="G11" s="2">
        <v>3500</v>
      </c>
      <c r="H11" s="2">
        <v>2</v>
      </c>
      <c r="I11" s="5" t="str">
        <f>VLOOKUP(E11,Product_Master!A:C,2,FALSE)</f>
        <v>Jeans</v>
      </c>
      <c r="J11" t="str">
        <f t="shared" si="0"/>
        <v>Low</v>
      </c>
      <c r="K11" t="str" cm="1">
        <f t="array" ref="K11">_xlfn.IFS(C11="North","Zone 1",C11="South","Zone 2",C11="East","Zone 3",C11="West","Zone 4")</f>
        <v>Zone 2</v>
      </c>
      <c r="L11">
        <f t="shared" si="1"/>
        <v>70</v>
      </c>
    </row>
  </sheetData>
  <conditionalFormatting sqref="G2:G11">
    <cfRule type="cellIs" dxfId="12" priority="5" operator="greaterThan">
      <formula>15000</formula>
    </cfRule>
  </conditionalFormatting>
  <conditionalFormatting sqref="G2:G11">
    <cfRule type="cellIs" dxfId="11" priority="4" operator="lessThan">
      <formula>3000</formula>
    </cfRule>
  </conditionalFormatting>
  <conditionalFormatting sqref="G2:G11">
    <cfRule type="top10" dxfId="10" priority="3" rank="3"/>
  </conditionalFormatting>
  <conditionalFormatting sqref="G2:G1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{FAA0A254-6FCC-4B74-9261-E8C99274501B}</x14:id>
        </ext>
      </extLst>
    </cfRule>
  </conditionalFormatting>
  <dataValidations count="1">
    <dataValidation type="list" allowBlank="1" showInputMessage="1" showErrorMessage="1" sqref="U2" xr:uid="{6A3345CE-0A7F-49FD-B136-9A12474ECE48}">
      <formula1>$C$2:$C$11</formula1>
    </dataValidation>
  </dataValidations>
  <pageMargins left="0.7" right="0.7" top="0.75" bottom="0.75" header="0.3" footer="0.3"/>
  <tableParts count="3">
    <tablePart r:id="rId1"/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A0A254-6FCC-4B74-9261-E8C9927450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G2:G11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8838-A8EF-4989-A837-D901D63732BD}">
  <dimension ref="A1:C6"/>
  <sheetViews>
    <sheetView workbookViewId="0"/>
  </sheetViews>
  <sheetFormatPr defaultRowHeight="14.25"/>
  <cols>
    <col min="1" max="1" width="9.5703125" bestFit="1" customWidth="1"/>
    <col min="2" max="2" width="12.5703125" bestFit="1" customWidth="1"/>
    <col min="3" max="3" width="4.85546875" bestFit="1" customWidth="1"/>
  </cols>
  <sheetData>
    <row r="1" spans="1:3">
      <c r="A1" s="1" t="s">
        <v>26</v>
      </c>
      <c r="B1" s="1" t="s">
        <v>29</v>
      </c>
      <c r="C1" s="1" t="s">
        <v>47</v>
      </c>
    </row>
    <row r="2" spans="1:3">
      <c r="A2" s="2" t="s">
        <v>33</v>
      </c>
      <c r="B2" s="2" t="s">
        <v>48</v>
      </c>
      <c r="C2" s="2">
        <v>7500</v>
      </c>
    </row>
    <row r="3" spans="1:3">
      <c r="A3" s="2" t="s">
        <v>34</v>
      </c>
      <c r="B3" s="2" t="s">
        <v>49</v>
      </c>
      <c r="C3" s="2">
        <v>7000</v>
      </c>
    </row>
    <row r="4" spans="1:3">
      <c r="A4" s="2" t="s">
        <v>37</v>
      </c>
      <c r="B4" s="2" t="s">
        <v>50</v>
      </c>
      <c r="C4" s="2">
        <v>500</v>
      </c>
    </row>
    <row r="5" spans="1:3">
      <c r="A5" s="2" t="s">
        <v>40</v>
      </c>
      <c r="B5" s="2" t="s">
        <v>51</v>
      </c>
      <c r="C5" s="2">
        <v>1500</v>
      </c>
    </row>
    <row r="6" spans="1:3">
      <c r="A6" s="2" t="s">
        <v>42</v>
      </c>
      <c r="B6" s="2" t="s">
        <v>52</v>
      </c>
      <c r="C6" s="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Vishav Jyoti</dc:creator>
  <cp:keywords/>
  <dc:description/>
  <cp:lastModifiedBy/>
  <cp:revision/>
  <dcterms:created xsi:type="dcterms:W3CDTF">2026-03-19T09:43:58Z</dcterms:created>
  <dcterms:modified xsi:type="dcterms:W3CDTF">2026-03-30T01:58:30Z</dcterms:modified>
  <cp:category/>
  <cp:contentStatus/>
</cp:coreProperties>
</file>